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S2\Thesis\6 prog\results\"/>
    </mc:Choice>
  </mc:AlternateContent>
  <xr:revisionPtr revIDLastSave="0" documentId="13_ncr:9_{A8082B2D-943B-4A15-B766-D15444B65A65}" xr6:coauthVersionLast="47" xr6:coauthVersionMax="47" xr10:uidLastSave="{00000000-0000-0000-0000-000000000000}"/>
  <bookViews>
    <workbookView xWindow="-120" yWindow="-120" windowWidth="20730" windowHeight="11040" xr2:uid="{8EBCD5A9-D18C-47B8-B230-557588BD7079}"/>
  </bookViews>
  <sheets>
    <sheet name="benchmark_summary" sheetId="1" r:id="rId1"/>
    <sheet name="normalisasi" sheetId="2" r:id="rId2"/>
  </sheets>
  <definedNames>
    <definedName name="_xlnm._FilterDatabase" localSheetId="0" hidden="1">benchmark_summary!$A$1:$W$8</definedName>
  </definedNames>
  <calcPr calcId="0"/>
</workbook>
</file>

<file path=xl/calcChain.xml><?xml version="1.0" encoding="utf-8"?>
<calcChain xmlns="http://schemas.openxmlformats.org/spreadsheetml/2006/main">
  <c r="P8" i="2" l="1"/>
  <c r="P7" i="2"/>
  <c r="P6" i="2"/>
  <c r="P5" i="2"/>
  <c r="P4" i="2"/>
  <c r="P3" i="2"/>
  <c r="P2" i="2"/>
  <c r="J2" i="2"/>
  <c r="C2" i="2"/>
  <c r="C3" i="2"/>
  <c r="C4" i="2"/>
  <c r="C5" i="2"/>
  <c r="C6" i="2"/>
  <c r="C7" i="2"/>
  <c r="C8" i="2"/>
  <c r="E2" i="2"/>
  <c r="E3" i="2"/>
  <c r="E4" i="2"/>
  <c r="E5" i="2"/>
  <c r="E6" i="2"/>
  <c r="E7" i="2"/>
  <c r="E8" i="2"/>
  <c r="G2" i="2"/>
  <c r="G3" i="2"/>
  <c r="G4" i="2"/>
  <c r="G5" i="2"/>
  <c r="G6" i="2"/>
  <c r="G7" i="2"/>
  <c r="G8" i="2"/>
  <c r="I2" i="2"/>
  <c r="I3" i="2"/>
  <c r="I4" i="2"/>
  <c r="I5" i="2"/>
  <c r="I6" i="2"/>
  <c r="I7" i="2"/>
  <c r="I8" i="2"/>
  <c r="T6" i="2"/>
  <c r="S6" i="2"/>
  <c r="R6" i="2"/>
  <c r="S8" i="1"/>
  <c r="S7" i="1"/>
  <c r="S6" i="1"/>
  <c r="S5" i="1"/>
  <c r="S4" i="1"/>
  <c r="S3" i="1"/>
  <c r="S2" i="1"/>
  <c r="Q8" i="1"/>
  <c r="Q7" i="1"/>
  <c r="Q6" i="1"/>
  <c r="Q5" i="1"/>
  <c r="Q4" i="1"/>
  <c r="Q3" i="1"/>
  <c r="Q2" i="1"/>
  <c r="L3" i="2" l="1"/>
  <c r="K6" i="2"/>
  <c r="K3" i="2"/>
  <c r="K4" i="2"/>
  <c r="L6" i="2"/>
  <c r="K8" i="2"/>
  <c r="L5" i="2"/>
  <c r="L7" i="2"/>
  <c r="J3" i="2"/>
  <c r="L4" i="2"/>
  <c r="L8" i="2"/>
  <c r="J8" i="2"/>
  <c r="L2" i="2"/>
  <c r="K5" i="2"/>
  <c r="K7" i="2"/>
  <c r="K2" i="2"/>
  <c r="J4" i="2"/>
  <c r="J5" i="2"/>
  <c r="J6" i="2"/>
  <c r="J7" i="2"/>
  <c r="M7" i="2" l="1"/>
  <c r="M6" i="2"/>
  <c r="M3" i="2"/>
  <c r="O3" i="2"/>
  <c r="O5" i="2"/>
  <c r="O8" i="2"/>
  <c r="O4" i="2"/>
  <c r="O7" i="2"/>
  <c r="O2" i="2"/>
  <c r="O6" i="2"/>
  <c r="M5" i="2"/>
  <c r="M4" i="2"/>
  <c r="M2" i="2"/>
  <c r="M8" i="2"/>
  <c r="N7" i="2"/>
  <c r="N3" i="2"/>
  <c r="N5" i="2"/>
  <c r="N4" i="2"/>
  <c r="N6" i="2"/>
  <c r="N2" i="2"/>
  <c r="N8" i="2"/>
</calcChain>
</file>

<file path=xl/sharedStrings.xml><?xml version="1.0" encoding="utf-8"?>
<sst xmlns="http://schemas.openxmlformats.org/spreadsheetml/2006/main" count="63" uniqueCount="51">
  <si>
    <t>no</t>
  </si>
  <si>
    <t>model</t>
  </si>
  <si>
    <t>samples</t>
  </si>
  <si>
    <t>success</t>
  </si>
  <si>
    <t>rto</t>
  </si>
  <si>
    <t>crash</t>
  </si>
  <si>
    <t>success_rate</t>
  </si>
  <si>
    <t>accuracy</t>
  </si>
  <si>
    <t>f1_macro</t>
  </si>
  <si>
    <t>f1_weighted</t>
  </si>
  <si>
    <t>min_latency_ms</t>
  </si>
  <si>
    <t>max_latency_ms</t>
  </si>
  <si>
    <t>avg_latency_ms</t>
  </si>
  <si>
    <t>p95_latency_ms</t>
  </si>
  <si>
    <t>fps</t>
  </si>
  <si>
    <t>tensor_arena</t>
  </si>
  <si>
    <t>peak_free_ram</t>
  </si>
  <si>
    <t>total_duration_sec</t>
  </si>
  <si>
    <t>avg_time_per_iter_sec</t>
  </si>
  <si>
    <t>notes</t>
  </si>
  <si>
    <t>timestamp</t>
  </si>
  <si>
    <t>B5_4_4_MobileNetV1_model.h</t>
  </si>
  <si>
    <t>alhamdulillah</t>
  </si>
  <si>
    <t>B5_8_1_ShuffleNetTiny_model</t>
  </si>
  <si>
    <t>B5_3_2_DW_All_model</t>
  </si>
  <si>
    <t>B5_6_2_NanoMobileNetV3_model</t>
  </si>
  <si>
    <t>B5_2_4_TinyESP32CNN_model</t>
  </si>
  <si>
    <t>B5_7_1_SqueezeNetTiny_model</t>
  </si>
  <si>
    <t>alhamdulilah</t>
  </si>
  <si>
    <t>B5_5_1_MiniMobileNetV2_model</t>
  </si>
  <si>
    <t>A</t>
  </si>
  <si>
    <t>L</t>
  </si>
  <si>
    <t>M</t>
  </si>
  <si>
    <t>F</t>
  </si>
  <si>
    <t>Model</t>
  </si>
  <si>
    <t>A_norm</t>
  </si>
  <si>
    <t>L_norm</t>
  </si>
  <si>
    <t>M_norm</t>
  </si>
  <si>
    <t>EASS1</t>
  </si>
  <si>
    <t>EASS2</t>
  </si>
  <si>
    <t>EASS3</t>
  </si>
  <si>
    <t>entitas</t>
  </si>
  <si>
    <t>α</t>
  </si>
  <si>
    <t>β</t>
  </si>
  <si>
    <t>γ</t>
  </si>
  <si>
    <t>δ</t>
  </si>
  <si>
    <t>Rank1</t>
  </si>
  <si>
    <t>Rank2</t>
  </si>
  <si>
    <t>Rank3</t>
  </si>
  <si>
    <t>S_norm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</si>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</sst>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68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2" fontId="0" fillId="0" borderId="0" xfId="1" applyNumberFormat="1" applyFont="1"/>
    <xf numFmtId="0" fontId="19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4575-BC7F-4830-AC25-470822317B7C}">
  <dimension ref="A1:W8"/>
  <sheetViews>
    <sheetView tabSelected="1" topLeftCell="B1" workbookViewId="0">
      <selection activeCell="P1" sqref="B1:P8"/>
    </sheetView>
  </sheetViews>
  <sheetFormatPr defaultRowHeight="15" x14ac:dyDescent="0.25"/>
  <cols>
    <col min="2" max="2" width="32.140625" bestFit="1" customWidth="1"/>
    <col min="3" max="7" width="0" hidden="1" customWidth="1"/>
    <col min="9" max="9" width="9.5703125" hidden="1" customWidth="1"/>
    <col min="10" max="12" width="0" hidden="1" customWidth="1"/>
    <col min="14" max="15" width="0" hidden="1" customWidth="1"/>
    <col min="17" max="17" width="0" hidden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5">
      <c r="A2">
        <v>8</v>
      </c>
      <c r="B2" t="s">
        <v>26</v>
      </c>
      <c r="C2">
        <v>1000</v>
      </c>
      <c r="D2">
        <v>1000</v>
      </c>
      <c r="E2">
        <v>0</v>
      </c>
      <c r="F2">
        <v>0</v>
      </c>
      <c r="G2">
        <v>100</v>
      </c>
      <c r="H2">
        <v>41.8</v>
      </c>
      <c r="I2" s="2">
        <v>0.39070341714763002</v>
      </c>
      <c r="J2">
        <v>0.39515396725670798</v>
      </c>
      <c r="K2">
        <v>3827</v>
      </c>
      <c r="L2">
        <v>3828</v>
      </c>
      <c r="M2">
        <v>3827.3490000000002</v>
      </c>
      <c r="N2">
        <v>3828</v>
      </c>
      <c r="O2">
        <v>0.26127745340181902</v>
      </c>
      <c r="P2">
        <v>94208</v>
      </c>
      <c r="Q2">
        <f>P2/1024</f>
        <v>92</v>
      </c>
      <c r="R2">
        <v>251492</v>
      </c>
      <c r="S2">
        <f>R2/1024</f>
        <v>245.59765625</v>
      </c>
      <c r="T2">
        <v>7018.4570848941803</v>
      </c>
      <c r="U2">
        <v>7.0184570848941803</v>
      </c>
      <c r="V2" t="s">
        <v>22</v>
      </c>
      <c r="W2" s="1">
        <v>46100.756886574076</v>
      </c>
    </row>
    <row r="3" spans="1:23" x14ac:dyDescent="0.25">
      <c r="A3">
        <v>6</v>
      </c>
      <c r="B3" t="s">
        <v>24</v>
      </c>
      <c r="C3">
        <v>1000</v>
      </c>
      <c r="D3">
        <v>1000</v>
      </c>
      <c r="E3">
        <v>0</v>
      </c>
      <c r="F3">
        <v>0</v>
      </c>
      <c r="G3">
        <v>100</v>
      </c>
      <c r="H3">
        <v>56.499999999999901</v>
      </c>
      <c r="I3" s="2">
        <v>0.56433689325988701</v>
      </c>
      <c r="J3">
        <v>0.56508105196210501</v>
      </c>
      <c r="K3">
        <v>1267</v>
      </c>
      <c r="L3">
        <v>1268</v>
      </c>
      <c r="M3">
        <v>1267.796</v>
      </c>
      <c r="N3">
        <v>1268</v>
      </c>
      <c r="O3">
        <v>0.78877043309806905</v>
      </c>
      <c r="P3">
        <v>96256</v>
      </c>
      <c r="Q3">
        <f t="shared" ref="Q3:Q8" si="0">P3/1024</f>
        <v>94</v>
      </c>
      <c r="R3">
        <v>249444</v>
      </c>
      <c r="S3">
        <f t="shared" ref="S3:S8" si="1">R3/1024</f>
        <v>243.59765625</v>
      </c>
      <c r="T3">
        <v>6827.8124752044596</v>
      </c>
      <c r="U3">
        <v>6.8278124752044604</v>
      </c>
      <c r="V3" t="s">
        <v>22</v>
      </c>
      <c r="W3" s="1">
        <v>46100.619456018518</v>
      </c>
    </row>
    <row r="4" spans="1:23" x14ac:dyDescent="0.25">
      <c r="A4">
        <v>1</v>
      </c>
      <c r="B4" t="s">
        <v>21</v>
      </c>
      <c r="C4">
        <v>1000</v>
      </c>
      <c r="D4">
        <v>1000</v>
      </c>
      <c r="E4">
        <v>0</v>
      </c>
      <c r="F4">
        <v>0</v>
      </c>
      <c r="G4">
        <v>100</v>
      </c>
      <c r="H4">
        <v>71.399999999999906</v>
      </c>
      <c r="I4" s="2">
        <v>0.71342362910028401</v>
      </c>
      <c r="J4">
        <v>0.71309981929920396</v>
      </c>
      <c r="K4">
        <v>3647</v>
      </c>
      <c r="L4">
        <v>3648</v>
      </c>
      <c r="M4">
        <v>3647.31</v>
      </c>
      <c r="N4">
        <v>3648</v>
      </c>
      <c r="O4">
        <v>0.27417466571253801</v>
      </c>
      <c r="P4">
        <v>86016</v>
      </c>
      <c r="Q4">
        <f t="shared" si="0"/>
        <v>84</v>
      </c>
      <c r="R4">
        <v>259684</v>
      </c>
      <c r="S4">
        <f t="shared" si="1"/>
        <v>253.59765625</v>
      </c>
      <c r="T4">
        <v>6520.1311633586802</v>
      </c>
      <c r="U4">
        <v>6.5201311633586796</v>
      </c>
      <c r="V4" t="s">
        <v>22</v>
      </c>
      <c r="W4" s="1">
        <v>46099.919131944444</v>
      </c>
    </row>
    <row r="5" spans="1:23" x14ac:dyDescent="0.25">
      <c r="A5">
        <v>10</v>
      </c>
      <c r="B5" t="s">
        <v>29</v>
      </c>
      <c r="C5">
        <v>1000</v>
      </c>
      <c r="D5">
        <v>1000</v>
      </c>
      <c r="E5">
        <v>0</v>
      </c>
      <c r="F5">
        <v>0</v>
      </c>
      <c r="G5">
        <v>100</v>
      </c>
      <c r="H5">
        <v>56.3</v>
      </c>
      <c r="I5" s="2">
        <v>0.56329059663979497</v>
      </c>
      <c r="J5">
        <v>0.56251695614498598</v>
      </c>
      <c r="K5">
        <v>1906</v>
      </c>
      <c r="L5">
        <v>1907</v>
      </c>
      <c r="M5">
        <v>1906.124</v>
      </c>
      <c r="N5">
        <v>1907</v>
      </c>
      <c r="O5">
        <v>0.52462484077635996</v>
      </c>
      <c r="P5">
        <v>93184</v>
      </c>
      <c r="Q5">
        <f t="shared" si="0"/>
        <v>91</v>
      </c>
      <c r="R5">
        <v>252516</v>
      </c>
      <c r="S5">
        <f t="shared" si="1"/>
        <v>246.59765625</v>
      </c>
      <c r="T5">
        <v>5284.6009182929902</v>
      </c>
      <c r="U5">
        <v>5.2846009182929903</v>
      </c>
      <c r="V5" t="s">
        <v>28</v>
      </c>
      <c r="W5" s="1">
        <v>46100.872453703705</v>
      </c>
    </row>
    <row r="6" spans="1:23" x14ac:dyDescent="0.25">
      <c r="A6">
        <v>7</v>
      </c>
      <c r="B6" t="s">
        <v>25</v>
      </c>
      <c r="C6">
        <v>1000</v>
      </c>
      <c r="D6">
        <v>1000</v>
      </c>
      <c r="E6">
        <v>0</v>
      </c>
      <c r="F6">
        <v>0</v>
      </c>
      <c r="G6">
        <v>100</v>
      </c>
      <c r="H6">
        <v>52</v>
      </c>
      <c r="I6" s="2">
        <v>0.50612072456076695</v>
      </c>
      <c r="J6">
        <v>0.50345350281721302</v>
      </c>
      <c r="K6">
        <v>1091</v>
      </c>
      <c r="L6">
        <v>1092</v>
      </c>
      <c r="M6">
        <v>1091.4580000000001</v>
      </c>
      <c r="N6">
        <v>1092</v>
      </c>
      <c r="O6">
        <v>0.91620566251747604</v>
      </c>
      <c r="P6">
        <v>99328</v>
      </c>
      <c r="Q6">
        <f t="shared" si="0"/>
        <v>97</v>
      </c>
      <c r="R6">
        <v>246372</v>
      </c>
      <c r="S6">
        <f t="shared" si="1"/>
        <v>240.59765625</v>
      </c>
      <c r="T6">
        <v>4089.0867335796302</v>
      </c>
      <c r="U6">
        <v>4.0890867335796299</v>
      </c>
      <c r="V6" t="s">
        <v>22</v>
      </c>
      <c r="W6" s="1">
        <v>46100.670567129629</v>
      </c>
    </row>
    <row r="7" spans="1:23" x14ac:dyDescent="0.25">
      <c r="A7">
        <v>9</v>
      </c>
      <c r="B7" t="s">
        <v>27</v>
      </c>
      <c r="C7">
        <v>1000</v>
      </c>
      <c r="D7">
        <v>1000</v>
      </c>
      <c r="E7">
        <v>0</v>
      </c>
      <c r="F7">
        <v>0</v>
      </c>
      <c r="G7">
        <v>100</v>
      </c>
      <c r="H7">
        <v>21.8</v>
      </c>
      <c r="I7" s="2">
        <v>7.1592775041050896E-2</v>
      </c>
      <c r="J7">
        <v>7.8036124794745407E-2</v>
      </c>
      <c r="K7">
        <v>1117</v>
      </c>
      <c r="L7">
        <v>1118</v>
      </c>
      <c r="M7">
        <v>1117.325</v>
      </c>
      <c r="N7">
        <v>1118</v>
      </c>
      <c r="O7">
        <v>0.89499474190589101</v>
      </c>
      <c r="P7">
        <v>53248</v>
      </c>
      <c r="Q7">
        <f t="shared" si="0"/>
        <v>52</v>
      </c>
      <c r="R7">
        <v>291620</v>
      </c>
      <c r="S7">
        <f t="shared" si="1"/>
        <v>284.78515625</v>
      </c>
      <c r="T7">
        <v>4032.88563609123</v>
      </c>
      <c r="U7">
        <v>4.0328856360912297</v>
      </c>
      <c r="V7" t="s">
        <v>28</v>
      </c>
      <c r="W7" s="1">
        <v>46100.807673611111</v>
      </c>
    </row>
    <row r="8" spans="1:23" x14ac:dyDescent="0.25">
      <c r="A8">
        <v>3</v>
      </c>
      <c r="B8" t="s">
        <v>23</v>
      </c>
      <c r="C8">
        <v>1000</v>
      </c>
      <c r="D8">
        <v>1000</v>
      </c>
      <c r="E8">
        <v>0</v>
      </c>
      <c r="F8">
        <v>0</v>
      </c>
      <c r="G8">
        <v>100</v>
      </c>
      <c r="H8">
        <v>70.8</v>
      </c>
      <c r="I8" s="2">
        <v>0.70590640280360695</v>
      </c>
      <c r="J8">
        <v>0.70749477393564697</v>
      </c>
      <c r="K8">
        <v>869</v>
      </c>
      <c r="L8">
        <v>870</v>
      </c>
      <c r="M8">
        <v>869.36599999999999</v>
      </c>
      <c r="N8">
        <v>870</v>
      </c>
      <c r="O8">
        <v>1.1502635253736599</v>
      </c>
      <c r="P8">
        <v>54272</v>
      </c>
      <c r="Q8">
        <f t="shared" si="0"/>
        <v>53</v>
      </c>
      <c r="R8">
        <v>290596</v>
      </c>
      <c r="S8">
        <f t="shared" si="1"/>
        <v>283.78515625</v>
      </c>
      <c r="T8">
        <v>3695.14509320259</v>
      </c>
      <c r="U8">
        <v>3.6951450932025902</v>
      </c>
      <c r="V8" t="s">
        <v>22</v>
      </c>
      <c r="W8" s="1">
        <v>46100.3121875</v>
      </c>
    </row>
  </sheetData>
  <autoFilter ref="A1:W8" xr:uid="{F5FA4575-BC7F-4830-AC25-470822317B7C}">
    <sortState xmlns:xlrd2="http://schemas.microsoft.com/office/spreadsheetml/2017/richdata2" ref="A2:W8">
      <sortCondition ref="B1:B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9CD-E550-4123-91BF-9E5CCBE76F23}">
  <dimension ref="A1:T8"/>
  <sheetViews>
    <sheetView workbookViewId="0">
      <selection activeCell="P2" sqref="P2"/>
    </sheetView>
  </sheetViews>
  <sheetFormatPr defaultRowHeight="15" x14ac:dyDescent="0.25"/>
  <cols>
    <col min="1" max="1" width="32.140625" bestFit="1" customWidth="1"/>
    <col min="2" max="2" width="0" hidden="1" customWidth="1"/>
    <col min="3" max="3" width="9.5703125" bestFit="1" customWidth="1"/>
    <col min="4" max="4" width="0" hidden="1" customWidth="1"/>
    <col min="6" max="6" width="0" hidden="1" customWidth="1"/>
    <col min="8" max="8" width="0" hidden="1" customWidth="1"/>
  </cols>
  <sheetData>
    <row r="1" spans="1:20" x14ac:dyDescent="0.25">
      <c r="A1" s="6" t="s">
        <v>34</v>
      </c>
      <c r="B1" s="6" t="s">
        <v>30</v>
      </c>
      <c r="C1" s="7" t="s">
        <v>35</v>
      </c>
      <c r="D1" s="7" t="s">
        <v>31</v>
      </c>
      <c r="E1" s="6" t="s">
        <v>36</v>
      </c>
      <c r="F1" s="6" t="s">
        <v>32</v>
      </c>
      <c r="G1" s="7" t="s">
        <v>37</v>
      </c>
      <c r="H1" s="7" t="s">
        <v>33</v>
      </c>
      <c r="I1" s="7" t="s">
        <v>49</v>
      </c>
      <c r="J1" s="7" t="s">
        <v>38</v>
      </c>
      <c r="K1" s="7" t="s">
        <v>39</v>
      </c>
      <c r="L1" s="7" t="s">
        <v>40</v>
      </c>
      <c r="M1" s="7" t="s">
        <v>46</v>
      </c>
      <c r="N1" s="7" t="s">
        <v>47</v>
      </c>
      <c r="O1" s="7" t="s">
        <v>48</v>
      </c>
      <c r="P1" s="7" t="s">
        <v>50</v>
      </c>
      <c r="Q1" s="7" t="s">
        <v>41</v>
      </c>
      <c r="R1">
        <v>1</v>
      </c>
      <c r="S1">
        <v>2</v>
      </c>
      <c r="T1">
        <v>3</v>
      </c>
    </row>
    <row r="2" spans="1:20" x14ac:dyDescent="0.25">
      <c r="A2" t="s">
        <v>26</v>
      </c>
      <c r="B2" s="4">
        <v>41.8</v>
      </c>
      <c r="C2" s="8">
        <f>(B2-MIN(B$2:B$8))/(MAX(B$2:B$8)-MIN(B$2:B$8))</f>
        <v>0.40322580645161354</v>
      </c>
      <c r="D2" s="4">
        <v>3827.3490000000002</v>
      </c>
      <c r="E2" s="8">
        <f>(-D2+MAX(D$2:D$8))/(MAX(D$2:D$8)-MIN(D$2:D$8))</f>
        <v>0</v>
      </c>
      <c r="F2" s="5">
        <v>94208</v>
      </c>
      <c r="G2" s="8">
        <f t="shared" ref="G2:G8" si="0">(-F2+MAX(F$2:F$8))/(MAX(F$2:F$8)-MIN(F$2:F$8))</f>
        <v>0.1111111111111111</v>
      </c>
      <c r="H2" s="4">
        <v>11.9296875</v>
      </c>
      <c r="I2" s="8">
        <f t="shared" ref="I2:I8" si="1">(-H2+MAX(H$2:H$8))/(MAX(H$2:H$8)-MIN(H$2:H$8))</f>
        <v>1</v>
      </c>
      <c r="J2" s="3">
        <f>$R$2*C2+$R$3*E2+$R$4*G2+$R$5*I2</f>
        <v>0.33351254480286763</v>
      </c>
      <c r="K2" s="3">
        <f>$S$2*$C2+$S$3*$E2+$S$4*$G2+$S$5*$I2</f>
        <v>0.24874551971326184</v>
      </c>
      <c r="L2" s="3">
        <f>$T$2*$C2+$T$3*$E2+$T$4*$G2+$T$5*$I2</f>
        <v>0.25985663082437294</v>
      </c>
      <c r="M2">
        <f>_xlfn.RANK.EQ(J2,J$2:J$8,0)</f>
        <v>7</v>
      </c>
      <c r="N2">
        <f t="shared" ref="N2:O8" si="2">_xlfn.RANK.EQ(K2,K$2:K$8,0)</f>
        <v>7</v>
      </c>
      <c r="O2">
        <f t="shared" si="2"/>
        <v>7</v>
      </c>
      <c r="P2">
        <f>SUM(M2:O2)/3</f>
        <v>7</v>
      </c>
      <c r="Q2" s="9" t="s">
        <v>42</v>
      </c>
      <c r="R2">
        <v>0.4</v>
      </c>
      <c r="S2">
        <v>0.3</v>
      </c>
      <c r="T2">
        <v>0.3</v>
      </c>
    </row>
    <row r="3" spans="1:20" x14ac:dyDescent="0.25">
      <c r="A3" t="s">
        <v>24</v>
      </c>
      <c r="B3" s="4">
        <v>56.499999999999901</v>
      </c>
      <c r="C3" s="8">
        <f t="shared" ref="C3:C8" si="3">(B3-MIN(B$2:B$8))/(MAX(B$2:B$8)-MIN(B$2:B$8))</f>
        <v>0.69959677419354771</v>
      </c>
      <c r="D3" s="4">
        <v>1267.796</v>
      </c>
      <c r="E3" s="8">
        <f t="shared" ref="E3:E8" si="4">(-D3+MAX(D$2:D$8))/(MAX(D$2:D$8)-MIN(D$2:D$8))</f>
        <v>0.86530348551698899</v>
      </c>
      <c r="F3" s="5">
        <v>96256</v>
      </c>
      <c r="G3" s="8">
        <f t="shared" si="0"/>
        <v>6.6666666666666666E-2</v>
      </c>
      <c r="H3" s="4">
        <v>12.359375</v>
      </c>
      <c r="I3" s="8">
        <f t="shared" si="1"/>
        <v>0.98783724015922159</v>
      </c>
      <c r="J3" s="3">
        <f t="shared" ref="J3:J8" si="5">$R$2*C3+$R$3*E3+$R$4*G3+$R$5*I3</f>
        <v>0.65767350041388295</v>
      </c>
      <c r="K3" s="3">
        <f t="shared" ref="K3:K8" si="6">$S$2*C3+$S$3*E3+$S$4*G3+$S$5*I3</f>
        <v>0.62818564287159939</v>
      </c>
      <c r="L3" s="3">
        <f t="shared" ref="L3:L8" si="7">$T$2*$C3+$T$3*$E3+$T$4*$G3+$T$5*$I3</f>
        <v>0.54832196098656705</v>
      </c>
      <c r="M3">
        <f t="shared" ref="M3:M8" si="8">_xlfn.RANK.EQ(J3,J$2:J$8,0)</f>
        <v>2</v>
      </c>
      <c r="N3">
        <f t="shared" si="2"/>
        <v>3</v>
      </c>
      <c r="O3">
        <f t="shared" si="2"/>
        <v>3</v>
      </c>
      <c r="P3">
        <f t="shared" ref="P3:P8" si="9">SUM(M3:O3)/3</f>
        <v>2.6666666666666665</v>
      </c>
      <c r="Q3" t="s">
        <v>43</v>
      </c>
      <c r="R3">
        <v>0.25</v>
      </c>
      <c r="S3">
        <v>0.35</v>
      </c>
      <c r="T3">
        <v>0.25</v>
      </c>
    </row>
    <row r="4" spans="1:20" x14ac:dyDescent="0.25">
      <c r="A4" t="s">
        <v>21</v>
      </c>
      <c r="B4" s="4">
        <v>71.399999999999906</v>
      </c>
      <c r="C4" s="8">
        <f t="shared" si="3"/>
        <v>1</v>
      </c>
      <c r="D4" s="4">
        <v>3647.31</v>
      </c>
      <c r="E4" s="8">
        <f t="shared" si="4"/>
        <v>6.0865461363368283E-2</v>
      </c>
      <c r="F4" s="5">
        <v>86016</v>
      </c>
      <c r="G4" s="8">
        <f t="shared" si="0"/>
        <v>0.28888888888888886</v>
      </c>
      <c r="H4" s="4">
        <v>47.2578125</v>
      </c>
      <c r="I4" s="8">
        <f t="shared" si="1"/>
        <v>0</v>
      </c>
      <c r="J4" s="3">
        <f t="shared" si="5"/>
        <v>0.47299414311861987</v>
      </c>
      <c r="K4" s="3">
        <f t="shared" si="6"/>
        <v>0.39352513369940112</v>
      </c>
      <c r="L4" s="3">
        <f t="shared" si="7"/>
        <v>0.41632747645195317</v>
      </c>
      <c r="M4">
        <f t="shared" si="8"/>
        <v>6</v>
      </c>
      <c r="N4">
        <f t="shared" si="2"/>
        <v>6</v>
      </c>
      <c r="O4">
        <f t="shared" si="2"/>
        <v>6</v>
      </c>
      <c r="P4">
        <f t="shared" si="9"/>
        <v>6</v>
      </c>
      <c r="Q4" t="s">
        <v>44</v>
      </c>
      <c r="R4">
        <v>0.2</v>
      </c>
      <c r="S4">
        <v>0.25</v>
      </c>
      <c r="T4">
        <v>0.35</v>
      </c>
    </row>
    <row r="5" spans="1:20" x14ac:dyDescent="0.25">
      <c r="A5" t="s">
        <v>29</v>
      </c>
      <c r="B5" s="4">
        <v>56.3</v>
      </c>
      <c r="C5" s="8">
        <f t="shared" si="3"/>
        <v>0.69556451612903358</v>
      </c>
      <c r="D5" s="4">
        <v>1906.124</v>
      </c>
      <c r="E5" s="8">
        <f t="shared" si="4"/>
        <v>0.64950508505288906</v>
      </c>
      <c r="F5" s="5">
        <v>93184</v>
      </c>
      <c r="G5" s="8">
        <f t="shared" si="0"/>
        <v>0.13333333333333333</v>
      </c>
      <c r="H5" s="4">
        <v>18.3203125</v>
      </c>
      <c r="I5" s="8">
        <f t="shared" si="1"/>
        <v>0.81910659000442287</v>
      </c>
      <c r="J5" s="3">
        <f t="shared" si="5"/>
        <v>0.59013473288216578</v>
      </c>
      <c r="K5" s="3">
        <f t="shared" si="6"/>
        <v>0.55124012694099678</v>
      </c>
      <c r="L5" s="3">
        <f t="shared" si="7"/>
        <v>0.49962295176904131</v>
      </c>
      <c r="M5">
        <f t="shared" si="8"/>
        <v>4</v>
      </c>
      <c r="N5">
        <f t="shared" si="2"/>
        <v>5</v>
      </c>
      <c r="O5">
        <f t="shared" si="2"/>
        <v>4</v>
      </c>
      <c r="P5">
        <f t="shared" si="9"/>
        <v>4.333333333333333</v>
      </c>
      <c r="Q5" t="s">
        <v>45</v>
      </c>
      <c r="R5">
        <v>0.15</v>
      </c>
      <c r="S5">
        <v>0.1</v>
      </c>
      <c r="T5">
        <v>0.1</v>
      </c>
    </row>
    <row r="6" spans="1:20" x14ac:dyDescent="0.25">
      <c r="A6" t="s">
        <v>25</v>
      </c>
      <c r="B6" s="4">
        <v>52</v>
      </c>
      <c r="C6" s="8">
        <f t="shared" si="3"/>
        <v>0.60887096774193661</v>
      </c>
      <c r="D6" s="4">
        <v>1091.4580000000001</v>
      </c>
      <c r="E6" s="8">
        <f t="shared" si="4"/>
        <v>0.92491775645769425</v>
      </c>
      <c r="F6" s="5">
        <v>99328</v>
      </c>
      <c r="G6" s="8">
        <f t="shared" si="0"/>
        <v>0</v>
      </c>
      <c r="H6" s="4">
        <v>19.75</v>
      </c>
      <c r="I6" s="8">
        <f t="shared" si="1"/>
        <v>0.77863777089783281</v>
      </c>
      <c r="J6" s="3">
        <f t="shared" si="5"/>
        <v>0.59157349184587316</v>
      </c>
      <c r="K6" s="3">
        <f t="shared" si="6"/>
        <v>0.58424628217255725</v>
      </c>
      <c r="L6" s="3">
        <f t="shared" si="7"/>
        <v>0.49175450652678787</v>
      </c>
      <c r="M6">
        <f t="shared" si="8"/>
        <v>3</v>
      </c>
      <c r="N6">
        <f t="shared" si="2"/>
        <v>4</v>
      </c>
      <c r="O6">
        <f t="shared" si="2"/>
        <v>5</v>
      </c>
      <c r="P6">
        <f t="shared" si="9"/>
        <v>4</v>
      </c>
      <c r="R6">
        <f>SUM(R2:R5)</f>
        <v>1</v>
      </c>
      <c r="S6">
        <f t="shared" ref="S6:T6" si="10">SUM(S2:S5)</f>
        <v>0.99999999999999989</v>
      </c>
      <c r="T6">
        <f t="shared" si="10"/>
        <v>1</v>
      </c>
    </row>
    <row r="7" spans="1:20" x14ac:dyDescent="0.25">
      <c r="A7" t="s">
        <v>27</v>
      </c>
      <c r="B7" s="4">
        <v>21.8</v>
      </c>
      <c r="C7" s="8">
        <f t="shared" si="3"/>
        <v>0</v>
      </c>
      <c r="D7" s="4">
        <v>1117.325</v>
      </c>
      <c r="E7" s="8">
        <f t="shared" si="4"/>
        <v>0.91617294622720957</v>
      </c>
      <c r="F7" s="5">
        <v>53248</v>
      </c>
      <c r="G7" s="8">
        <f t="shared" si="0"/>
        <v>1</v>
      </c>
      <c r="H7" s="4">
        <v>19.2265625</v>
      </c>
      <c r="I7" s="8">
        <f t="shared" si="1"/>
        <v>0.79345422379478103</v>
      </c>
      <c r="J7" s="3">
        <f t="shared" si="5"/>
        <v>0.54806137012601952</v>
      </c>
      <c r="K7" s="3">
        <f t="shared" si="6"/>
        <v>0.65000595355900148</v>
      </c>
      <c r="L7" s="3">
        <f t="shared" si="7"/>
        <v>0.6583886589362804</v>
      </c>
      <c r="M7">
        <f t="shared" si="8"/>
        <v>5</v>
      </c>
      <c r="N7">
        <f t="shared" si="2"/>
        <v>2</v>
      </c>
      <c r="O7">
        <f t="shared" si="2"/>
        <v>2</v>
      </c>
      <c r="P7">
        <f t="shared" si="9"/>
        <v>3</v>
      </c>
    </row>
    <row r="8" spans="1:20" x14ac:dyDescent="0.25">
      <c r="A8" t="s">
        <v>23</v>
      </c>
      <c r="B8" s="4">
        <v>70.8</v>
      </c>
      <c r="C8" s="8">
        <f t="shared" si="3"/>
        <v>0.9879032258064534</v>
      </c>
      <c r="D8" s="4">
        <v>869.36599999999999</v>
      </c>
      <c r="E8" s="8">
        <f t="shared" si="4"/>
        <v>1</v>
      </c>
      <c r="F8" s="5">
        <v>54272</v>
      </c>
      <c r="G8" s="8">
        <f t="shared" si="0"/>
        <v>0.97777777777777775</v>
      </c>
      <c r="H8" s="4">
        <v>27.7421875</v>
      </c>
      <c r="I8" s="8">
        <f t="shared" si="1"/>
        <v>0.55241043785935429</v>
      </c>
      <c r="J8" s="3">
        <f t="shared" si="5"/>
        <v>0.92357841155704012</v>
      </c>
      <c r="K8" s="3">
        <f t="shared" si="6"/>
        <v>0.94605645597231591</v>
      </c>
      <c r="L8" s="3">
        <f t="shared" si="7"/>
        <v>0.94383423375009357</v>
      </c>
      <c r="M8">
        <f t="shared" si="8"/>
        <v>1</v>
      </c>
      <c r="N8">
        <f t="shared" si="2"/>
        <v>1</v>
      </c>
      <c r="O8">
        <f t="shared" si="2"/>
        <v>1</v>
      </c>
      <c r="P8">
        <f t="shared" si="9"/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benchmark_summary</vt:lpstr>
      <vt:lpstr>normalisasi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2026-03-19T14:13:10Z</dcterms:created>
  <dcterms:modified xsi:type="dcterms:W3CDTF">2026-03-23T00:34:12Z</dcterms:modified>
</cp:coreProperties>
</file>